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idenshepard/Documents/Claude/Projects/Ambar Rental Program/"/>
    </mc:Choice>
  </mc:AlternateContent>
  <xr:revisionPtr revIDLastSave="0" documentId="11_89EFCD52773F56DE723FC763415CC5B56F0ED44D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ection 5 Formula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3" i="1" l="1"/>
  <c r="B34" i="1"/>
  <c r="B22" i="1"/>
  <c r="B9" i="1"/>
  <c r="B10" i="1" s="1"/>
  <c r="B8" i="1"/>
  <c r="B17" i="1" l="1"/>
  <c r="B16" i="1"/>
  <c r="B15" i="1"/>
  <c r="B23" i="1" s="1"/>
  <c r="B35" i="1"/>
  <c r="B36" i="1" s="1"/>
  <c r="B37" i="1" l="1"/>
  <c r="B38" i="1"/>
  <c r="B48" i="1"/>
  <c r="B24" i="1"/>
  <c r="B45" i="1" s="1"/>
  <c r="B44" i="1"/>
  <c r="B39" i="1"/>
  <c r="B40" i="1" s="1"/>
  <c r="B49" i="1" s="1"/>
  <c r="B51" i="1" l="1"/>
  <c r="B50" i="1"/>
</calcChain>
</file>

<file path=xl/sharedStrings.xml><?xml version="1.0" encoding="utf-8"?>
<sst xmlns="http://schemas.openxmlformats.org/spreadsheetml/2006/main" count="133" uniqueCount="99">
  <si>
    <t>AMBAR Rental Simulator — Section 5: Profitability &amp; Returns</t>
  </si>
  <si>
    <t>Live formulas (default unit A1, Base scenario). Blue = input you can change · Black = calculated. Everything derives from the ADR below.</t>
  </si>
  <si>
    <t>REVENUE ASSUMPTIONS  (Section 4)</t>
  </si>
  <si>
    <t>Item</t>
  </si>
  <si>
    <t>Value</t>
  </si>
  <si>
    <t>Excel formula (in the Value cell)</t>
  </si>
  <si>
    <t>Notes</t>
  </si>
  <si>
    <t>ADR — Average Daily Rate</t>
  </si>
  <si>
    <t>(input)</t>
  </si>
  <si>
    <t>Base scenario = unit A1 ADR $383 x 1.07 uplift, rounded</t>
  </si>
  <si>
    <t>Occupancy</t>
  </si>
  <si>
    <t>Annual average occupancy</t>
  </si>
  <si>
    <t>Days per month</t>
  </si>
  <si>
    <t xml:space="preserve"> =365/12</t>
  </si>
  <si>
    <t>Average month length (30.4167)</t>
  </si>
  <si>
    <t>RevPAR (per night)</t>
  </si>
  <si>
    <t xml:space="preserve"> =B6*B7</t>
  </si>
  <si>
    <t>ADR x Occupancy</t>
  </si>
  <si>
    <t>Gross Monthly Revenue</t>
  </si>
  <si>
    <t xml:space="preserve"> =B9*B8</t>
  </si>
  <si>
    <t>RevPAR x days/month</t>
  </si>
  <si>
    <t>Marriott Brand Fee %</t>
  </si>
  <si>
    <t>Franchise / Bonvoy platform</t>
  </si>
  <si>
    <t>Hotel Operations %</t>
  </si>
  <si>
    <t>Front desk, housekeeping, mgmt</t>
  </si>
  <si>
    <t>FF&amp;E Reserve %</t>
  </si>
  <si>
    <t>Furniture/fixtures reserve</t>
  </si>
  <si>
    <t>OTA + Card Fee %</t>
  </si>
  <si>
    <t>Booking 2.5% + card 2.41%</t>
  </si>
  <si>
    <t>Owner Revenue (split)</t>
  </si>
  <si>
    <t xml:space="preserve"> =Gross x (1 - Marriott% - HotelOps%)</t>
  </si>
  <si>
    <t>Your 50% share before variable costs</t>
  </si>
  <si>
    <t>(-) FF&amp;E Reserve $</t>
  </si>
  <si>
    <t xml:space="preserve"> =Gross x FF&amp;E%</t>
  </si>
  <si>
    <t>(-) OTA + Card $</t>
  </si>
  <si>
    <t xml:space="preserve"> =Gross x (OTA+Card)%</t>
  </si>
  <si>
    <t>HOA / Condo Fee</t>
  </si>
  <si>
    <t>Monthly fixed</t>
  </si>
  <si>
    <t>Utilities</t>
  </si>
  <si>
    <t>Insurance</t>
  </si>
  <si>
    <t>Property Tax</t>
  </si>
  <si>
    <t>Osceola County, annual / 12</t>
  </si>
  <si>
    <t>(-) Fixed Costs total</t>
  </si>
  <si>
    <t xml:space="preserve"> =HOA + Utilities + Insurance + PropertyTax</t>
  </si>
  <si>
    <t>Net Operating Income (NOI) / month</t>
  </si>
  <si>
    <t xml:space="preserve"> =OwnerRevenue - FF&amp;E - OTA/Card - FixedCosts</t>
  </si>
  <si>
    <t>Net income after all expenses</t>
  </si>
  <si>
    <t>Net Operating Income (NOI) / year</t>
  </si>
  <si>
    <t xml:space="preserve"> =NOI_month x 12</t>
  </si>
  <si>
    <t>FINANCING &amp; PRICE INPUTS</t>
  </si>
  <si>
    <t>Purchase Price</t>
  </si>
  <si>
    <t>Section 1 unit price</t>
  </si>
  <si>
    <t>Down Payment %</t>
  </si>
  <si>
    <t>Section 2</t>
  </si>
  <si>
    <t>Annual Interest Rate</t>
  </si>
  <si>
    <t>Section 3</t>
  </si>
  <si>
    <t>Loan Term (years)</t>
  </si>
  <si>
    <t>Financing % of closing balance</t>
  </si>
  <si>
    <t>100% of balance financed</t>
  </si>
  <si>
    <t>INTERMEDIATE CALCULATIONS</t>
  </si>
  <si>
    <t>Down Payment ($)</t>
  </si>
  <si>
    <t xml:space="preserve"> =Price x DownPayment%</t>
  </si>
  <si>
    <t>Closing Balance</t>
  </si>
  <si>
    <t xml:space="preserve"> =Price - DownPayment</t>
  </si>
  <si>
    <t>Loan Amount</t>
  </si>
  <si>
    <t xml:space="preserve"> =ClosingBalance x Financing%</t>
  </si>
  <si>
    <t>Monthly Mortgage Payment (PMT)</t>
  </si>
  <si>
    <t xml:space="preserve"> =-PMT(rate/12, term*12, loan)</t>
  </si>
  <si>
    <t>Level amortizing payment</t>
  </si>
  <si>
    <t>Year-1 Principal Paid</t>
  </si>
  <si>
    <t xml:space="preserve"> =-CUMPRINC(rate/12, term*12, loan, 1, 12, 0)</t>
  </si>
  <si>
    <t>Principal in months 1-12</t>
  </si>
  <si>
    <t>Monthly Cash Flow</t>
  </si>
  <si>
    <t xml:space="preserve"> =NOI_month - PMT</t>
  </si>
  <si>
    <t>Annual Cash Flow</t>
  </si>
  <si>
    <t xml:space="preserve"> =MonthlyCashFlow x 12</t>
  </si>
  <si>
    <t>SECTION 5 — CASH PURCHASE (unlevered)</t>
  </si>
  <si>
    <t xml:space="preserve"> =Price</t>
  </si>
  <si>
    <t>All-cash basis</t>
  </si>
  <si>
    <t>Monthly Net Income</t>
  </si>
  <si>
    <t xml:space="preserve"> =NOI_month</t>
  </si>
  <si>
    <t>Annual = NOI/year above</t>
  </si>
  <si>
    <t>Cap Rate</t>
  </si>
  <si>
    <t xml:space="preserve"> =AnnualNOI / Price</t>
  </si>
  <si>
    <t>No financing</t>
  </si>
  <si>
    <t>SECTION 5 — WITH FINANCING (levered)</t>
  </si>
  <si>
    <t>Total Invested Capital</t>
  </si>
  <si>
    <t xml:space="preserve"> =DownPayment + (ClosingBalance - Loan)</t>
  </si>
  <si>
    <t xml:space="preserve"> = down payment (cash at closing is 0 at 100% financing)</t>
  </si>
  <si>
    <t>Leveraged Cash Return (annual)</t>
  </si>
  <si>
    <t xml:space="preserve"> =AnnualCashFlow + Year1Principal</t>
  </si>
  <si>
    <t>Cash flow + equity built</t>
  </si>
  <si>
    <t>Leveraged Cash Return (monthly)</t>
  </si>
  <si>
    <t xml:space="preserve"> =Annual / 12</t>
  </si>
  <si>
    <t>Card headline</t>
  </si>
  <si>
    <t>Annual Return on Equity</t>
  </si>
  <si>
    <t xml:space="preserve"> =LeveragedCashReturn / TotalInvestedCapital</t>
  </si>
  <si>
    <t>Levered return</t>
  </si>
  <si>
    <t>Note: PMT &amp; CUMPRINC reproduce the simulator's month-by-month amortization exactly. NOI derives from ADR, so it matches the website to the dollar.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</si>
</sst>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"/>
    <numFmt numFmtId="166" formatCode="0.0000"/>
    <numFmt numFmtId="167" formatCode="\$#,##0.0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9"/>
      <color rgb="FF333333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9"/>
      <color rgb="FF666666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A5A37"/>
        <bgColor rgb="FF555555"/>
      </patternFill>
    </fill>
    <fill>
      <patternFill patternType="solid">
        <fgColor rgb="FFFFF6EC"/>
        <bgColor rgb="FFFFFFFF"/>
      </patternFill>
    </fill>
    <fill>
      <patternFill patternType="solid">
        <fgColor rgb="FFEFE7D6"/>
        <bgColor rgb="FFDDDDDD"/>
      </patternFill>
    </fill>
    <fill>
      <patternFill patternType="solid">
        <fgColor rgb="FFF36F43"/>
        <bgColor rgb="FFFF808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5" borderId="0" xfId="0" applyFont="1" applyFill="1" applyAlignment="1">
      <alignment horizontal="left" indent="1"/>
    </xf>
    <xf numFmtId="0" fontId="3" fillId="2" borderId="0" xfId="0" applyFont="1" applyFill="1" applyAlignment="1">
      <alignment horizontal="left" indent="1"/>
    </xf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1" xfId="0" applyFont="1" applyBorder="1"/>
    <xf numFmtId="164" fontId="6" fillId="3" borderId="1" xfId="0" applyNumberFormat="1" applyFont="1" applyFill="1" applyBorder="1"/>
    <xf numFmtId="0" fontId="7" fillId="0" borderId="1" xfId="0" applyFont="1" applyBorder="1"/>
    <xf numFmtId="165" fontId="6" fillId="3" borderId="1" xfId="0" applyNumberFormat="1" applyFont="1" applyFill="1" applyBorder="1"/>
    <xf numFmtId="166" fontId="8" fillId="0" borderId="1" xfId="0" applyNumberFormat="1" applyFont="1" applyBorder="1"/>
    <xf numFmtId="167" fontId="8" fillId="0" borderId="1" xfId="0" applyNumberFormat="1" applyFont="1" applyBorder="1"/>
    <xf numFmtId="164" fontId="8" fillId="0" borderId="1" xfId="0" applyNumberFormat="1" applyFont="1" applyBorder="1"/>
    <xf numFmtId="10" fontId="6" fillId="3" borderId="1" xfId="0" applyNumberFormat="1" applyFont="1" applyFill="1" applyBorder="1"/>
    <xf numFmtId="167" fontId="6" fillId="3" borderId="1" xfId="0" applyNumberFormat="1" applyFont="1" applyFill="1" applyBorder="1"/>
    <xf numFmtId="164" fontId="8" fillId="4" borderId="1" xfId="0" applyNumberFormat="1" applyFont="1" applyFill="1" applyBorder="1"/>
    <xf numFmtId="1" fontId="6" fillId="3" borderId="1" xfId="0" applyNumberFormat="1" applyFont="1" applyFill="1" applyBorder="1"/>
    <xf numFmtId="165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A5A37"/>
      <rgbColor rgb="FF800080"/>
      <rgbColor rgb="FF008080"/>
      <rgbColor rgb="FFC0C0C0"/>
      <rgbColor rgb="FF808080"/>
      <rgbColor rgb="FF9999FF"/>
      <rgbColor rgb="FF993366"/>
      <rgbColor rgb="FFFFF6E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36F43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30" zoomScaleNormal="100" workbookViewId="0">
      <selection sqref="A1:D1"/>
    </sheetView>
  </sheetViews>
  <sheetFormatPr baseColWidth="10" defaultColWidth="8.6640625" defaultRowHeight="15" x14ac:dyDescent="0.2"/>
  <cols>
    <col min="1" max="1" width="34" customWidth="1"/>
    <col min="2" max="2" width="16" customWidth="1"/>
    <col min="3" max="3" width="44" customWidth="1"/>
    <col min="4" max="4" width="50" customWidth="1"/>
  </cols>
  <sheetData>
    <row r="1" spans="1:4" ht="18" x14ac:dyDescent="0.2">
      <c r="A1" s="4" t="s">
        <v>0</v>
      </c>
      <c r="B1" s="4"/>
      <c r="C1" s="4"/>
      <c r="D1" s="4"/>
    </row>
    <row r="2" spans="1:4" x14ac:dyDescent="0.2">
      <c r="A2" s="3" t="s">
        <v>1</v>
      </c>
      <c r="B2" s="3"/>
      <c r="C2" s="3"/>
      <c r="D2" s="3"/>
    </row>
    <row r="4" spans="1:4" x14ac:dyDescent="0.2">
      <c r="A4" s="2" t="s">
        <v>2</v>
      </c>
      <c r="B4" s="2"/>
      <c r="C4" s="2"/>
      <c r="D4" s="2"/>
    </row>
    <row r="5" spans="1:4" x14ac:dyDescent="0.2">
      <c r="A5" s="5" t="s">
        <v>3</v>
      </c>
      <c r="B5" s="5" t="s">
        <v>4</v>
      </c>
      <c r="C5" s="5" t="s">
        <v>5</v>
      </c>
      <c r="D5" s="5" t="s">
        <v>6</v>
      </c>
    </row>
    <row r="6" spans="1:4" x14ac:dyDescent="0.2">
      <c r="A6" s="6" t="s">
        <v>7</v>
      </c>
      <c r="B6" s="7">
        <v>409</v>
      </c>
      <c r="C6" s="8" t="s">
        <v>8</v>
      </c>
      <c r="D6" s="8" t="s">
        <v>9</v>
      </c>
    </row>
    <row r="7" spans="1:4" x14ac:dyDescent="0.2">
      <c r="A7" s="6" t="s">
        <v>10</v>
      </c>
      <c r="B7" s="9">
        <v>0.79</v>
      </c>
      <c r="C7" s="8" t="s">
        <v>8</v>
      </c>
      <c r="D7" s="8" t="s">
        <v>11</v>
      </c>
    </row>
    <row r="8" spans="1:4" x14ac:dyDescent="0.2">
      <c r="A8" s="6" t="s">
        <v>12</v>
      </c>
      <c r="B8" s="10">
        <f>365/12</f>
        <v>30.416666666666668</v>
      </c>
      <c r="C8" s="8" t="s">
        <v>13</v>
      </c>
      <c r="D8" s="8" t="s">
        <v>14</v>
      </c>
    </row>
    <row r="9" spans="1:4" x14ac:dyDescent="0.2">
      <c r="A9" s="6" t="s">
        <v>15</v>
      </c>
      <c r="B9" s="11">
        <f>B6*B7</f>
        <v>323.11</v>
      </c>
      <c r="C9" s="8" t="s">
        <v>16</v>
      </c>
      <c r="D9" s="8" t="s">
        <v>17</v>
      </c>
    </row>
    <row r="10" spans="1:4" x14ac:dyDescent="0.2">
      <c r="A10" s="6" t="s">
        <v>18</v>
      </c>
      <c r="B10" s="12">
        <f>B9*B8</f>
        <v>9827.9291666666668</v>
      </c>
      <c r="C10" s="8" t="s">
        <v>19</v>
      </c>
      <c r="D10" s="8" t="s">
        <v>20</v>
      </c>
    </row>
    <row r="11" spans="1:4" x14ac:dyDescent="0.2">
      <c r="A11" s="6" t="s">
        <v>21</v>
      </c>
      <c r="B11" s="9">
        <v>0.1</v>
      </c>
      <c r="C11" s="8" t="s">
        <v>8</v>
      </c>
      <c r="D11" s="8" t="s">
        <v>22</v>
      </c>
    </row>
    <row r="12" spans="1:4" x14ac:dyDescent="0.2">
      <c r="A12" s="6" t="s">
        <v>23</v>
      </c>
      <c r="B12" s="9">
        <v>0.4</v>
      </c>
      <c r="C12" s="8" t="s">
        <v>8</v>
      </c>
      <c r="D12" s="8" t="s">
        <v>24</v>
      </c>
    </row>
    <row r="13" spans="1:4" x14ac:dyDescent="0.2">
      <c r="A13" s="6" t="s">
        <v>25</v>
      </c>
      <c r="B13" s="9">
        <v>0.04</v>
      </c>
      <c r="C13" s="8" t="s">
        <v>8</v>
      </c>
      <c r="D13" s="8" t="s">
        <v>26</v>
      </c>
    </row>
    <row r="14" spans="1:4" x14ac:dyDescent="0.2">
      <c r="A14" s="6" t="s">
        <v>27</v>
      </c>
      <c r="B14" s="13">
        <v>4.9099999999999998E-2</v>
      </c>
      <c r="C14" s="8" t="s">
        <v>8</v>
      </c>
      <c r="D14" s="8" t="s">
        <v>28</v>
      </c>
    </row>
    <row r="15" spans="1:4" x14ac:dyDescent="0.2">
      <c r="A15" s="6" t="s">
        <v>29</v>
      </c>
      <c r="B15" s="12">
        <f>B10*(1-B11-B12)</f>
        <v>4913.9645833333334</v>
      </c>
      <c r="C15" s="8" t="s">
        <v>30</v>
      </c>
      <c r="D15" s="8" t="s">
        <v>31</v>
      </c>
    </row>
    <row r="16" spans="1:4" x14ac:dyDescent="0.2">
      <c r="A16" s="6" t="s">
        <v>32</v>
      </c>
      <c r="B16" s="12">
        <f>B10*B13</f>
        <v>393.11716666666666</v>
      </c>
      <c r="C16" s="8" t="s">
        <v>33</v>
      </c>
      <c r="D16" s="8"/>
    </row>
    <row r="17" spans="1:4" x14ac:dyDescent="0.2">
      <c r="A17" s="6" t="s">
        <v>34</v>
      </c>
      <c r="B17" s="12">
        <f>B10*B14</f>
        <v>482.55132208333333</v>
      </c>
      <c r="C17" s="8" t="s">
        <v>35</v>
      </c>
      <c r="D17" s="8"/>
    </row>
    <row r="18" spans="1:4" x14ac:dyDescent="0.2">
      <c r="A18" s="6" t="s">
        <v>36</v>
      </c>
      <c r="B18" s="14">
        <v>550.15</v>
      </c>
      <c r="C18" s="8" t="s">
        <v>8</v>
      </c>
      <c r="D18" s="8" t="s">
        <v>37</v>
      </c>
    </row>
    <row r="19" spans="1:4" x14ac:dyDescent="0.2">
      <c r="A19" s="6" t="s">
        <v>38</v>
      </c>
      <c r="B19" s="14">
        <v>85.83</v>
      </c>
      <c r="C19" s="8" t="s">
        <v>8</v>
      </c>
      <c r="D19" s="8" t="s">
        <v>37</v>
      </c>
    </row>
    <row r="20" spans="1:4" x14ac:dyDescent="0.2">
      <c r="A20" s="6" t="s">
        <v>39</v>
      </c>
      <c r="B20" s="14">
        <v>86.51</v>
      </c>
      <c r="C20" s="8" t="s">
        <v>8</v>
      </c>
      <c r="D20" s="8" t="s">
        <v>37</v>
      </c>
    </row>
    <row r="21" spans="1:4" x14ac:dyDescent="0.2">
      <c r="A21" s="6" t="s">
        <v>40</v>
      </c>
      <c r="B21" s="14">
        <v>354.26</v>
      </c>
      <c r="C21" s="8" t="s">
        <v>8</v>
      </c>
      <c r="D21" s="8" t="s">
        <v>41</v>
      </c>
    </row>
    <row r="22" spans="1:4" x14ac:dyDescent="0.2">
      <c r="A22" s="6" t="s">
        <v>42</v>
      </c>
      <c r="B22" s="12">
        <f>B18+B19+B20+B21</f>
        <v>1076.75</v>
      </c>
      <c r="C22" s="8" t="s">
        <v>43</v>
      </c>
      <c r="D22" s="8"/>
    </row>
    <row r="23" spans="1:4" x14ac:dyDescent="0.2">
      <c r="A23" s="6" t="s">
        <v>44</v>
      </c>
      <c r="B23" s="15">
        <f>B15-B16-B17-B22</f>
        <v>2961.5460945833333</v>
      </c>
      <c r="C23" s="8" t="s">
        <v>45</v>
      </c>
      <c r="D23" s="8" t="s">
        <v>46</v>
      </c>
    </row>
    <row r="24" spans="1:4" x14ac:dyDescent="0.2">
      <c r="A24" s="6" t="s">
        <v>47</v>
      </c>
      <c r="B24" s="15">
        <f>B23*12</f>
        <v>35538.553135000002</v>
      </c>
      <c r="C24" s="8" t="s">
        <v>48</v>
      </c>
      <c r="D24" s="8"/>
    </row>
    <row r="25" spans="1:4" x14ac:dyDescent="0.2">
      <c r="A25" s="2" t="s">
        <v>49</v>
      </c>
      <c r="B25" s="2"/>
      <c r="C25" s="2"/>
      <c r="D25" s="2"/>
    </row>
    <row r="26" spans="1:4" x14ac:dyDescent="0.2">
      <c r="A26" s="5" t="s">
        <v>3</v>
      </c>
      <c r="B26" s="5" t="s">
        <v>4</v>
      </c>
      <c r="C26" s="5" t="s">
        <v>5</v>
      </c>
      <c r="D26" s="5" t="s">
        <v>6</v>
      </c>
    </row>
    <row r="27" spans="1:4" x14ac:dyDescent="0.2">
      <c r="A27" s="6" t="s">
        <v>50</v>
      </c>
      <c r="B27" s="7">
        <v>459344</v>
      </c>
      <c r="C27" s="8" t="s">
        <v>8</v>
      </c>
      <c r="D27" s="8" t="s">
        <v>51</v>
      </c>
    </row>
    <row r="28" spans="1:4" x14ac:dyDescent="0.2">
      <c r="A28" s="6" t="s">
        <v>52</v>
      </c>
      <c r="B28" s="9">
        <v>0.3</v>
      </c>
      <c r="C28" s="8" t="s">
        <v>8</v>
      </c>
      <c r="D28" s="8" t="s">
        <v>53</v>
      </c>
    </row>
    <row r="29" spans="1:4" x14ac:dyDescent="0.2">
      <c r="A29" s="6" t="s">
        <v>54</v>
      </c>
      <c r="B29" s="9">
        <v>0.05</v>
      </c>
      <c r="C29" s="8" t="s">
        <v>8</v>
      </c>
      <c r="D29" s="8" t="s">
        <v>55</v>
      </c>
    </row>
    <row r="30" spans="1:4" x14ac:dyDescent="0.2">
      <c r="A30" s="6" t="s">
        <v>56</v>
      </c>
      <c r="B30" s="16">
        <v>30</v>
      </c>
      <c r="C30" s="8" t="s">
        <v>8</v>
      </c>
      <c r="D30" s="8" t="s">
        <v>55</v>
      </c>
    </row>
    <row r="31" spans="1:4" x14ac:dyDescent="0.2">
      <c r="A31" s="6" t="s">
        <v>57</v>
      </c>
      <c r="B31" s="9">
        <v>1</v>
      </c>
      <c r="C31" s="8" t="s">
        <v>8</v>
      </c>
      <c r="D31" s="8" t="s">
        <v>58</v>
      </c>
    </row>
    <row r="32" spans="1:4" x14ac:dyDescent="0.2">
      <c r="A32" s="2" t="s">
        <v>59</v>
      </c>
      <c r="B32" s="2"/>
      <c r="C32" s="2"/>
      <c r="D32" s="2"/>
    </row>
    <row r="33" spans="1:4" x14ac:dyDescent="0.2">
      <c r="A33" s="5" t="s">
        <v>3</v>
      </c>
      <c r="B33" s="5" t="s">
        <v>4</v>
      </c>
      <c r="C33" s="5" t="s">
        <v>5</v>
      </c>
      <c r="D33" s="5" t="s">
        <v>6</v>
      </c>
    </row>
    <row r="34" spans="1:4" x14ac:dyDescent="0.2">
      <c r="A34" s="6" t="s">
        <v>60</v>
      </c>
      <c r="B34" s="12">
        <f>B27*B28</f>
        <v>137803.19999999998</v>
      </c>
      <c r="C34" s="8" t="s">
        <v>61</v>
      </c>
      <c r="D34" s="8"/>
    </row>
    <row r="35" spans="1:4" x14ac:dyDescent="0.2">
      <c r="A35" s="6" t="s">
        <v>62</v>
      </c>
      <c r="B35" s="12">
        <f>B27-B34</f>
        <v>321540.80000000005</v>
      </c>
      <c r="C35" s="8" t="s">
        <v>63</v>
      </c>
      <c r="D35" s="8"/>
    </row>
    <row r="36" spans="1:4" x14ac:dyDescent="0.2">
      <c r="A36" s="6" t="s">
        <v>64</v>
      </c>
      <c r="B36" s="12">
        <f>B35*B31</f>
        <v>321540.80000000005</v>
      </c>
      <c r="C36" s="8" t="s">
        <v>65</v>
      </c>
      <c r="D36" s="8"/>
    </row>
    <row r="37" spans="1:4" x14ac:dyDescent="0.2">
      <c r="A37" s="6" t="s">
        <v>66</v>
      </c>
      <c r="B37" s="12">
        <f>-PMT(B29/12,B30*12,B36)</f>
        <v>1726.1005412062163</v>
      </c>
      <c r="C37" s="8" t="s">
        <v>67</v>
      </c>
      <c r="D37" s="8" t="s">
        <v>68</v>
      </c>
    </row>
    <row r="38" spans="1:4" x14ac:dyDescent="0.2">
      <c r="A38" s="6" t="s">
        <v>69</v>
      </c>
      <c r="B38" s="12">
        <f>-CUMPRINC(B29/12,B30*12,B36,1,12,0)</f>
        <v>4743.9015350604404</v>
      </c>
      <c r="C38" s="8" t="s">
        <v>70</v>
      </c>
      <c r="D38" s="8" t="s">
        <v>71</v>
      </c>
    </row>
    <row r="39" spans="1:4" x14ac:dyDescent="0.2">
      <c r="A39" s="6" t="s">
        <v>72</v>
      </c>
      <c r="B39" s="12">
        <f>B23-B37</f>
        <v>1235.445553377117</v>
      </c>
      <c r="C39" s="8" t="s">
        <v>73</v>
      </c>
      <c r="D39" s="8"/>
    </row>
    <row r="40" spans="1:4" x14ac:dyDescent="0.2">
      <c r="A40" s="6" t="s">
        <v>74</v>
      </c>
      <c r="B40" s="12">
        <f>B39*12</f>
        <v>14825.346640525404</v>
      </c>
      <c r="C40" s="8" t="s">
        <v>75</v>
      </c>
      <c r="D40" s="8"/>
    </row>
    <row r="41" spans="1:4" x14ac:dyDescent="0.2">
      <c r="A41" s="1" t="s">
        <v>76</v>
      </c>
      <c r="B41" s="1"/>
      <c r="C41" s="1"/>
      <c r="D41" s="1"/>
    </row>
    <row r="42" spans="1:4" x14ac:dyDescent="0.2">
      <c r="A42" s="5" t="s">
        <v>3</v>
      </c>
      <c r="B42" s="5" t="s">
        <v>4</v>
      </c>
      <c r="C42" s="5" t="s">
        <v>5</v>
      </c>
      <c r="D42" s="5" t="s">
        <v>6</v>
      </c>
    </row>
    <row r="43" spans="1:4" x14ac:dyDescent="0.2">
      <c r="A43" s="6" t="s">
        <v>50</v>
      </c>
      <c r="B43" s="12">
        <f>B27</f>
        <v>459344</v>
      </c>
      <c r="C43" s="8" t="s">
        <v>77</v>
      </c>
      <c r="D43" s="8" t="s">
        <v>78</v>
      </c>
    </row>
    <row r="44" spans="1:4" x14ac:dyDescent="0.2">
      <c r="A44" s="6" t="s">
        <v>79</v>
      </c>
      <c r="B44" s="12">
        <f>B23</f>
        <v>2961.5460945833333</v>
      </c>
      <c r="C44" s="8" t="s">
        <v>80</v>
      </c>
      <c r="D44" s="8" t="s">
        <v>81</v>
      </c>
    </row>
    <row r="45" spans="1:4" x14ac:dyDescent="0.2">
      <c r="A45" s="6" t="s">
        <v>82</v>
      </c>
      <c r="B45" s="17">
        <f>B24/B27</f>
        <v>7.7368057784579752E-2</v>
      </c>
      <c r="C45" s="8" t="s">
        <v>83</v>
      </c>
      <c r="D45" s="8" t="s">
        <v>84</v>
      </c>
    </row>
    <row r="46" spans="1:4" x14ac:dyDescent="0.2">
      <c r="A46" s="1" t="s">
        <v>85</v>
      </c>
      <c r="B46" s="1"/>
      <c r="C46" s="1"/>
      <c r="D46" s="1"/>
    </row>
    <row r="47" spans="1:4" x14ac:dyDescent="0.2">
      <c r="A47" s="5" t="s">
        <v>3</v>
      </c>
      <c r="B47" s="5" t="s">
        <v>4</v>
      </c>
      <c r="C47" s="5" t="s">
        <v>5</v>
      </c>
      <c r="D47" s="5" t="s">
        <v>6</v>
      </c>
    </row>
    <row r="48" spans="1:4" x14ac:dyDescent="0.2">
      <c r="A48" s="6" t="s">
        <v>86</v>
      </c>
      <c r="B48" s="12">
        <f>B34+(B35-B36)</f>
        <v>137803.19999999998</v>
      </c>
      <c r="C48" s="8" t="s">
        <v>87</v>
      </c>
      <c r="D48" s="8" t="s">
        <v>88</v>
      </c>
    </row>
    <row r="49" spans="1:4" x14ac:dyDescent="0.2">
      <c r="A49" s="6" t="s">
        <v>89</v>
      </c>
      <c r="B49" s="12">
        <f>B40+B38</f>
        <v>19569.248175585846</v>
      </c>
      <c r="C49" s="8" t="s">
        <v>90</v>
      </c>
      <c r="D49" s="8" t="s">
        <v>91</v>
      </c>
    </row>
    <row r="50" spans="1:4" x14ac:dyDescent="0.2">
      <c r="A50" s="6" t="s">
        <v>92</v>
      </c>
      <c r="B50" s="12">
        <f>B49/12</f>
        <v>1630.7706812988206</v>
      </c>
      <c r="C50" s="8" t="s">
        <v>93</v>
      </c>
      <c r="D50" s="8" t="s">
        <v>94</v>
      </c>
    </row>
    <row r="51" spans="1:4" x14ac:dyDescent="0.2">
      <c r="A51" s="6" t="s">
        <v>95</v>
      </c>
      <c r="B51" s="17">
        <f>B49/B34</f>
        <v>0.14200866290177477</v>
      </c>
      <c r="C51" s="8" t="s">
        <v>96</v>
      </c>
      <c r="D51" s="8" t="s">
        <v>97</v>
      </c>
    </row>
    <row r="53" spans="1:4" x14ac:dyDescent="0.2">
      <c r="A53" s="3" t="s">
        <v>98</v>
      </c>
      <c r="B53" s="3"/>
      <c r="C53" s="3"/>
      <c r="D53" s="3"/>
    </row>
  </sheetData>
  <mergeCells count="8">
    <mergeCell ref="A41:D41"/>
    <mergeCell ref="A46:D46"/>
    <mergeCell ref="A53:D53"/>
    <mergeCell ref="A1:D1"/>
    <mergeCell ref="A2:D2"/>
    <mergeCell ref="A4:D4"/>
    <mergeCell ref="A25:D25"/>
    <mergeCell ref="A32:D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5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Salazar</cp:lastModifiedBy>
  <cp:revision>0</cp:revision>
  <dcterms:created xsi:type="dcterms:W3CDTF">2026-06-19T14:15:38Z</dcterms:created>
  <dcterms:modified xsi:type="dcterms:W3CDTF">2026-06-19T14:37:58Z</dcterms:modified>
  <dc:language>en-US</dc:language>
</cp:coreProperties>
</file>